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\1\dichotomy\"/>
    </mc:Choice>
  </mc:AlternateContent>
  <xr:revisionPtr revIDLastSave="0" documentId="13_ncr:40009_{1A193892-0040-4A07-BAF7-EABF1AE3D4EE}" xr6:coauthVersionLast="47" xr6:coauthVersionMax="47" xr10:uidLastSave="{00000000-0000-0000-0000-000000000000}"/>
  <bookViews>
    <workbookView xWindow="-108" yWindow="-108" windowWidth="23256" windowHeight="12576"/>
  </bookViews>
  <sheets>
    <sheet name="(x-2)^2_1.0e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" l="1"/>
  <c r="C1" i="1"/>
  <c r="D1" i="1"/>
  <c r="E1" i="1"/>
  <c r="F1" i="1"/>
  <c r="G1" i="1"/>
  <c r="H1" i="1"/>
  <c r="B2" i="1"/>
  <c r="C2" i="1"/>
  <c r="D2" i="1"/>
  <c r="E2" i="1"/>
  <c r="F2" i="1"/>
  <c r="G2" i="1"/>
  <c r="H2" i="1"/>
  <c r="I2" i="1"/>
  <c r="B3" i="1"/>
  <c r="C3" i="1"/>
  <c r="D3" i="1"/>
  <c r="E3" i="1"/>
  <c r="F3" i="1"/>
  <c r="G3" i="1"/>
  <c r="H3" i="1"/>
  <c r="I3" i="1"/>
  <c r="B4" i="1"/>
  <c r="C4" i="1"/>
  <c r="D4" i="1"/>
  <c r="E4" i="1"/>
  <c r="F4" i="1"/>
  <c r="G4" i="1"/>
  <c r="H4" i="1"/>
  <c r="I4" i="1"/>
  <c r="B5" i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I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M8" i="1"/>
</calcChain>
</file>

<file path=xl/sharedStrings.xml><?xml version="1.0" encoding="utf-8"?>
<sst xmlns="http://schemas.openxmlformats.org/spreadsheetml/2006/main" count="1" uniqueCount="1">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</sst>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E+00"/>
    <numFmt numFmtId="166" formatCode="0.00000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workbookViewId="0">
      <selection activeCell="K14" sqref="K14"/>
    </sheetView>
  </sheetViews>
  <sheetFormatPr defaultRowHeight="14.4" x14ac:dyDescent="0.3"/>
  <cols>
    <col min="2" max="5" width="12.5546875" bestFit="1" customWidth="1"/>
    <col min="6" max="6" width="13.44140625" bestFit="1" customWidth="1"/>
    <col min="7" max="8" width="12.6640625" bestFit="1" customWidth="1"/>
  </cols>
  <sheetData>
    <row r="1" spans="1:13" x14ac:dyDescent="0.3">
      <c r="A1">
        <v>1</v>
      </c>
      <c r="B1" s="1">
        <f>8.99999999995*(1)</f>
        <v>8.9999999999500009</v>
      </c>
      <c r="C1" s="1">
        <f>9.00000000005*(1)</f>
        <v>9.0000000000499991</v>
      </c>
      <c r="D1" s="1">
        <f>48.9999999993*(1)</f>
        <v>48.999999999300002</v>
      </c>
      <c r="E1" s="1">
        <f>49.0000000006999*(1)</f>
        <v>49.000000000699899</v>
      </c>
      <c r="F1" s="1">
        <f>-2*(1)</f>
        <v>-2</v>
      </c>
      <c r="G1" s="1">
        <f>20*(1)</f>
        <v>20</v>
      </c>
      <c r="H1" s="1">
        <f>22*(1)</f>
        <v>22</v>
      </c>
      <c r="I1" t="s">
        <v>0</v>
      </c>
    </row>
    <row r="2" spans="1:13" x14ac:dyDescent="0.3">
      <c r="A2">
        <v>2</v>
      </c>
      <c r="B2" s="1">
        <f>3.49999999997499*(1)</f>
        <v>3.4999999999749898</v>
      </c>
      <c r="C2" s="1">
        <f>3.50000000007499*(1)</f>
        <v>3.5000000000749898</v>
      </c>
      <c r="D2" s="1">
        <f>2.24999999992499*(1)</f>
        <v>2.2499999999249898</v>
      </c>
      <c r="E2" s="1">
        <f>2.25000000022499*(1)</f>
        <v>2.2500000002249898</v>
      </c>
      <c r="F2" s="1">
        <f>-2*(1)</f>
        <v>-2</v>
      </c>
      <c r="G2" s="1">
        <f>9.00000000005*(1)</f>
        <v>9.0000000000499991</v>
      </c>
      <c r="H2" s="1">
        <f>11.00000000005*(1)</f>
        <v>11.000000000049999</v>
      </c>
      <c r="I2" s="2">
        <f>1.9999999999909*(1)</f>
        <v>1.9999999999908999</v>
      </c>
    </row>
    <row r="3" spans="1:13" x14ac:dyDescent="0.3">
      <c r="A3">
        <v>3</v>
      </c>
      <c r="B3" s="1">
        <f>0.749999999987499*(1)</f>
        <v>0.749999999987499</v>
      </c>
      <c r="C3" s="1">
        <f>0.750000000087499*(1)</f>
        <v>0.75000000008749901</v>
      </c>
      <c r="D3" s="1">
        <f>1.56250000003125*(1)</f>
        <v>1.5625000000312499</v>
      </c>
      <c r="E3" s="1">
        <f>1.56249999978125*(1)</f>
        <v>1.5624999997812501</v>
      </c>
      <c r="F3" s="1">
        <f>-2*(1)</f>
        <v>-2</v>
      </c>
      <c r="G3" s="1">
        <f>3.50000000007499*(1)</f>
        <v>3.5000000000749898</v>
      </c>
      <c r="H3" s="1">
        <f>5.500000000075*(1)</f>
        <v>5.5000000000749996</v>
      </c>
      <c r="I3" s="2">
        <f>1.99999999998181*(1)</f>
        <v>1.9999999999818101</v>
      </c>
    </row>
    <row r="4" spans="1:13" x14ac:dyDescent="0.3">
      <c r="A4">
        <v>4</v>
      </c>
      <c r="B4" s="1">
        <f>2.12499999998124*(1)</f>
        <v>2.1249999999812399</v>
      </c>
      <c r="C4" s="1">
        <f>2.12500000008124*(1)</f>
        <v>2.1250000000812399</v>
      </c>
      <c r="D4" s="1">
        <f>0.0156249999953124*(1)</f>
        <v>1.5624999995312401E-2</v>
      </c>
      <c r="E4" s="1">
        <f>0.0156250000203124*(1)</f>
        <v>1.5625000020312401E-2</v>
      </c>
      <c r="F4" s="1">
        <f>0.749999999987499*(1)</f>
        <v>0.749999999987499</v>
      </c>
      <c r="G4" s="1">
        <f>3.50000000007499*(1)</f>
        <v>3.5000000000749898</v>
      </c>
      <c r="H4" s="1">
        <f>2.7500000000875*(1)</f>
        <v>2.7500000000874998</v>
      </c>
      <c r="I4" s="2">
        <f>1.99999999996363*(1)</f>
        <v>1.99999999996363</v>
      </c>
    </row>
    <row r="5" spans="1:13" x14ac:dyDescent="0.3">
      <c r="A5">
        <v>5</v>
      </c>
      <c r="B5" s="1">
        <f>1.43749999998437*(1)</f>
        <v>1.4374999999843701</v>
      </c>
      <c r="C5" s="1">
        <f>1.43750000008437*(1)</f>
        <v>1.4375000000843701</v>
      </c>
      <c r="D5" s="1">
        <f>0.316406250017578*(1)</f>
        <v>0.31640625001757799</v>
      </c>
      <c r="E5" s="1">
        <f>0.316406249905078*(1)</f>
        <v>0.31640624990507799</v>
      </c>
      <c r="F5" s="1">
        <f>0.749999999987499*(1)</f>
        <v>0.749999999987499</v>
      </c>
      <c r="G5" s="1">
        <f>2.12500000008124*(1)</f>
        <v>2.1250000000812399</v>
      </c>
      <c r="H5" s="1">
        <f>1.37500000009375*(1)</f>
        <v>1.3750000000937499</v>
      </c>
      <c r="I5" s="2">
        <f>1.99999999992727*(1)</f>
        <v>1.99999999992727</v>
      </c>
    </row>
    <row r="6" spans="1:13" x14ac:dyDescent="0.3">
      <c r="A6">
        <v>6</v>
      </c>
      <c r="B6" s="1">
        <f>1.78124999998281*(1)</f>
        <v>1.78124999998281</v>
      </c>
      <c r="C6" s="1">
        <f>1.78125000008281*(1)</f>
        <v>1.78125000008281</v>
      </c>
      <c r="D6" s="1">
        <f>0.0478515625075196*(1)</f>
        <v>4.7851562507519603E-2</v>
      </c>
      <c r="E6" s="1">
        <f>0.0478515624637696*(1)</f>
        <v>4.7851562463769599E-2</v>
      </c>
      <c r="F6" s="1">
        <f>1.43749999998437*(1)</f>
        <v>1.4374999999843701</v>
      </c>
      <c r="G6" s="1">
        <f>2.12500000008124*(1)</f>
        <v>2.1250000000812399</v>
      </c>
      <c r="H6" s="1">
        <f>0.687500000096875*(1)</f>
        <v>0.68750000009687495</v>
      </c>
      <c r="I6" s="2">
        <f>1.99999999985454*(1)</f>
        <v>1.9999999998545399</v>
      </c>
    </row>
    <row r="7" spans="1:13" x14ac:dyDescent="0.3">
      <c r="A7">
        <v>7</v>
      </c>
      <c r="B7" s="1">
        <f>1.95312499998203*(1)</f>
        <v>1.9531249999820299</v>
      </c>
      <c r="C7" s="1">
        <f>1.95312500008203*(1)</f>
        <v>1.9531250000820299</v>
      </c>
      <c r="D7" s="1">
        <f>0.00219726562668461*(1)</f>
        <v>2.1972656266846099E-3</v>
      </c>
      <c r="E7" s="1">
        <f>0.00219726561730961*(1)</f>
        <v>2.19726561730961E-3</v>
      </c>
      <c r="F7" s="1">
        <f>1.78124999998281*(1)</f>
        <v>1.78124999998281</v>
      </c>
      <c r="G7" s="1">
        <f>2.12500000008124*(1)</f>
        <v>2.1250000000812399</v>
      </c>
      <c r="H7" s="1">
        <f>0.343750000098437*(1)</f>
        <v>0.34375000009843698</v>
      </c>
      <c r="I7" s="2">
        <f>1.99999999970909*(1)</f>
        <v>1.99999999970909</v>
      </c>
    </row>
    <row r="8" spans="1:13" x14ac:dyDescent="0.3">
      <c r="A8">
        <v>8</v>
      </c>
      <c r="B8" s="1">
        <f>2.03906249998164*(1)</f>
        <v>2.03906249998164</v>
      </c>
      <c r="C8" s="1">
        <f>2.03906250008164*(1)</f>
        <v>2.03906250008164</v>
      </c>
      <c r="D8" s="1">
        <f>0.00152587890481566*(1)</f>
        <v>1.5258789048156599E-3</v>
      </c>
      <c r="E8" s="1">
        <f>0.00152587891262816*(1)</f>
        <v>1.5258789126281599E-3</v>
      </c>
      <c r="F8" s="1">
        <f>1.95312499998203*(1)</f>
        <v>1.9531249999820299</v>
      </c>
      <c r="G8" s="1">
        <f>2.12500000008124*(1)</f>
        <v>2.1250000000812399</v>
      </c>
      <c r="H8" s="1">
        <f>0.171875000099218*(1)</f>
        <v>0.17187500009921799</v>
      </c>
      <c r="I8" s="2">
        <f>1.99999999941818*(1)</f>
        <v>1.9999999994181801</v>
      </c>
      <c r="M8">
        <f>1</f>
        <v>1</v>
      </c>
    </row>
    <row r="9" spans="1:13" x14ac:dyDescent="0.3">
      <c r="A9">
        <v>9</v>
      </c>
      <c r="B9" s="1">
        <f>1.99609374998183*(1)</f>
        <v>1.9960937499818301</v>
      </c>
      <c r="C9" s="1">
        <f>1.99609375008183*(1)</f>
        <v>1.9960937500818301</v>
      </c>
      <c r="D9" s="1">
        <f>0.000015258789204409*(1)</f>
        <v>1.5258789204409E-5</v>
      </c>
      <c r="E9" s="1">
        <f>0.0000152587884231589*(1)</f>
        <v>1.52587884231589E-5</v>
      </c>
      <c r="F9" s="1">
        <f>1.95312499998203*(1)</f>
        <v>1.9531249999820299</v>
      </c>
      <c r="G9" s="1">
        <f>2.03906250008164*(1)</f>
        <v>2.03906250008164</v>
      </c>
      <c r="H9" s="1">
        <f>0.0859375000996096*(1)</f>
        <v>8.5937500099609598E-2</v>
      </c>
      <c r="I9" s="2">
        <f>1.99999999883635*(1)</f>
        <v>1.9999999988363499</v>
      </c>
    </row>
    <row r="10" spans="1:13" x14ac:dyDescent="0.3">
      <c r="A10">
        <v>10</v>
      </c>
      <c r="B10" s="1">
        <f>2.01757812498173*(1)</f>
        <v>2.0175781249817302</v>
      </c>
      <c r="C10" s="1">
        <f>2.01757812508173*(1)</f>
        <v>2.0175781250817302</v>
      </c>
      <c r="D10" s="1">
        <f>0.000308990477873607*(1)</f>
        <v>3.0899047787360699E-4</v>
      </c>
      <c r="E10" s="1">
        <f>0.000308990481389232*(1)</f>
        <v>3.0899048138923201E-4</v>
      </c>
      <c r="F10" s="1">
        <f>1.99609374998183*(1)</f>
        <v>1.9960937499818301</v>
      </c>
      <c r="G10" s="1">
        <f>2.03906250008164*(1)</f>
        <v>2.03906250008164</v>
      </c>
      <c r="H10" s="1">
        <f>0.0429687500998048*(1)</f>
        <v>4.2968750099804803E-2</v>
      </c>
      <c r="I10" s="2">
        <f>1.99999999767272*(1)</f>
        <v>1.9999999976727201</v>
      </c>
    </row>
    <row r="11" spans="1:13" x14ac:dyDescent="0.3">
      <c r="A11">
        <v>11</v>
      </c>
      <c r="B11" s="1">
        <f>2.00683593748178*(1)</f>
        <v>2.0068359374817799</v>
      </c>
      <c r="C11" s="1">
        <f>2.00683593758178*(1)</f>
        <v>2.0068359375817799</v>
      </c>
      <c r="D11" s="1">
        <f>0.0000467300412549005*(1)</f>
        <v>4.6730041254900498E-5</v>
      </c>
      <c r="E11" s="1">
        <f>0.0000467300426220881*(1)</f>
        <v>4.6730042622088098E-5</v>
      </c>
      <c r="F11" s="1">
        <f>1.99609374998183*(1)</f>
        <v>1.9960937499818301</v>
      </c>
      <c r="G11" s="1">
        <f>2.01757812508173*(1)</f>
        <v>2.0175781250817302</v>
      </c>
      <c r="H11" s="1">
        <f>0.0214843750999025*(1)</f>
        <v>2.1484375099902499E-2</v>
      </c>
      <c r="I11" s="2">
        <f>1.99999999534544*(1)</f>
        <v>1.9999999953454399</v>
      </c>
    </row>
    <row r="12" spans="1:13" x14ac:dyDescent="0.3">
      <c r="A12">
        <v>12</v>
      </c>
      <c r="B12" s="1">
        <f>2.00146484373181*(1)</f>
        <v>2.0014648437318101</v>
      </c>
      <c r="C12" s="1">
        <f>2.00146484383181*(1)</f>
        <v>2.0014648438318101</v>
      </c>
      <c r="D12" s="1">
        <f>2.14576715862726E-06*(1)</f>
        <v>2.14576715862726E-6</v>
      </c>
      <c r="E12" s="1">
        <f>2.14576745159604E-06*(1)</f>
        <v>2.1457674515960402E-6</v>
      </c>
      <c r="F12" s="1">
        <f>1.99609374998183*(1)</f>
        <v>1.9960937499818301</v>
      </c>
      <c r="G12" s="1">
        <f>2.00683593758178*(1)</f>
        <v>2.0068359375817799</v>
      </c>
      <c r="H12" s="1">
        <f>0.0107421875999513*(1)</f>
        <v>1.0742187599951301E-2</v>
      </c>
      <c r="I12" s="2">
        <f>1.99999999069088*(1)</f>
        <v>1.9999999906908801</v>
      </c>
    </row>
    <row r="13" spans="1:13" x14ac:dyDescent="0.3">
      <c r="A13">
        <v>13</v>
      </c>
      <c r="B13" s="1">
        <f>1.99877929685682*(1)</f>
        <v>1.9987792968568201</v>
      </c>
      <c r="C13" s="1">
        <f>1.99877929695682*(1)</f>
        <v>1.9987792969568201</v>
      </c>
      <c r="D13" s="1">
        <f>1.49011616376116E-06*(1)</f>
        <v>1.4901161637611599E-6</v>
      </c>
      <c r="E13" s="1">
        <f>1.49011591962052E-06*(1)</f>
        <v>1.49011591962052E-6</v>
      </c>
      <c r="F13" s="1">
        <f>1.99609374998183*(1)</f>
        <v>1.9960937499818301</v>
      </c>
      <c r="G13" s="1">
        <f>2.00146484383181*(1)</f>
        <v>2.0014648438318101</v>
      </c>
      <c r="H13" s="1">
        <f>0.0053710938499758*(1)</f>
        <v>5.3710938499758002E-3</v>
      </c>
      <c r="I13" s="2">
        <f>1.99999998138177*(1)</f>
        <v>1.9999999813817699</v>
      </c>
    </row>
    <row r="14" spans="1:13" x14ac:dyDescent="0.3">
      <c r="A14">
        <v>14</v>
      </c>
      <c r="B14" s="1">
        <f>2.00012207029431*(1)</f>
        <v>2.0001220702943101</v>
      </c>
      <c r="C14" s="1">
        <f>2.00012207039431*(1)</f>
        <v>2.0001220703943101</v>
      </c>
      <c r="D14" s="1">
        <f>1.49011567546906E-08*(1)</f>
        <v>1.4901156754690601E-8</v>
      </c>
      <c r="E14" s="1">
        <f>1.49011811687614E-08*(1)</f>
        <v>1.4901181168761399E-8</v>
      </c>
      <c r="F14" s="1">
        <f>1.99877929685682*(1)</f>
        <v>1.9987792968568201</v>
      </c>
      <c r="G14" s="1">
        <f>2.00146484383181*(1)</f>
        <v>2.0014648438318101</v>
      </c>
      <c r="H14" s="1">
        <f>0.00268554697498801*(1)</f>
        <v>2.6855469749880101E-3</v>
      </c>
      <c r="I14" s="2">
        <f>1.99999996276355*(1)</f>
        <v>1.9999999627635501</v>
      </c>
    </row>
    <row r="15" spans="1:13" x14ac:dyDescent="0.3">
      <c r="A15">
        <v>15</v>
      </c>
      <c r="B15" s="1">
        <f>1.99945068357557*(1)</f>
        <v>1.9994506835755701</v>
      </c>
      <c r="C15" s="1">
        <f>1.99945068367557*(1)</f>
        <v>1.9994506836755701</v>
      </c>
      <c r="D15" s="1">
        <f>3.01748534148208E-07*(1)</f>
        <v>3.0174853414820799E-7</v>
      </c>
      <c r="E15" s="1">
        <f>3.01748424284924E-07*(1)</f>
        <v>3.01748424284924E-7</v>
      </c>
      <c r="F15" s="1">
        <f>1.99877929685682*(1)</f>
        <v>1.9987792968568201</v>
      </c>
      <c r="G15" s="1">
        <f>2.00012207039431*(1)</f>
        <v>2.0001220703943101</v>
      </c>
      <c r="H15" s="1">
        <f>0.00134277353749379*(1)</f>
        <v>1.3427735374937899E-3</v>
      </c>
      <c r="I15" s="2">
        <f>1.9999999255276*(1)</f>
        <v>1.9999999255276</v>
      </c>
    </row>
    <row r="16" spans="1:13" x14ac:dyDescent="0.3">
      <c r="A16">
        <v>16</v>
      </c>
      <c r="B16" s="1">
        <f>1.99978637693494*(1)</f>
        <v>1.99978637693494</v>
      </c>
      <c r="C16" s="1">
        <f>1.99978637703494*(1)</f>
        <v>1.99978637703494</v>
      </c>
      <c r="D16" s="1">
        <f>4.56348139240201E-08*(1)</f>
        <v>4.5634813924020097E-8</v>
      </c>
      <c r="E16" s="1">
        <f>4.56347711994135E-08*(1)</f>
        <v>4.56347711994135E-8</v>
      </c>
      <c r="F16" s="1">
        <f>1.99945068357557*(1)</f>
        <v>1.9994506835755701</v>
      </c>
      <c r="G16" s="1">
        <f>2.00012207039431*(1)</f>
        <v>2.0001220703943101</v>
      </c>
      <c r="H16" s="1">
        <f>0.000671386818746899*(1)</f>
        <v>6.71386818746899E-4</v>
      </c>
      <c r="I16" s="2">
        <f>1.99999985105455*(1)</f>
        <v>1.99999985105455</v>
      </c>
    </row>
    <row r="17" spans="1:9" x14ac:dyDescent="0.3">
      <c r="A17">
        <v>17</v>
      </c>
      <c r="B17" s="1">
        <f>1.99995422361463*(1)</f>
        <v>1.9999542236146299</v>
      </c>
      <c r="C17" s="1">
        <f>1.99995422371463*(1)</f>
        <v>1.9999542237146299</v>
      </c>
      <c r="D17" s="1">
        <f>2.09547745748785E-09*(1)</f>
        <v>2.0954774574878501E-9</v>
      </c>
      <c r="E17" s="1">
        <f>2.09546830222002E-09*(1)</f>
        <v>2.0954683022200199E-9</v>
      </c>
      <c r="F17" s="1">
        <f>1.99978637693494*(1)</f>
        <v>1.99978637693494</v>
      </c>
      <c r="G17" s="1">
        <f>2.00012207039431*(1)</f>
        <v>2.0001220703943101</v>
      </c>
      <c r="H17" s="1">
        <f>0.000335693459373453*(1)</f>
        <v>3.3569345937345299E-4</v>
      </c>
      <c r="I17" s="2">
        <f>1.99999970210915*(1)</f>
        <v>1.99999970210915</v>
      </c>
    </row>
    <row r="18" spans="1:9" x14ac:dyDescent="0.3">
      <c r="A18">
        <v>18</v>
      </c>
      <c r="B18" s="1">
        <f>2.00003814695447*(1)</f>
        <v>2.0000381469544699</v>
      </c>
      <c r="C18" s="1">
        <f>2.00003814705447*(1)</f>
        <v>2.0000381470544699</v>
      </c>
      <c r="D18" s="1">
        <f>1.45519013563421E-09*(1)</f>
        <v>1.45519013563421E-9</v>
      </c>
      <c r="E18" s="1">
        <f>1.45519776503574E-09*(1)</f>
        <v>1.45519776503574E-9</v>
      </c>
      <c r="F18" s="1">
        <f>1.99995422361463*(1)</f>
        <v>1.9999542236146299</v>
      </c>
      <c r="G18" s="1">
        <f>2.00012207039431*(1)</f>
        <v>2.0001220703943101</v>
      </c>
      <c r="H18" s="1">
        <f>0.00016784677968662*(1)</f>
        <v>1.6784677968661999E-4</v>
      </c>
      <c r="I18" s="2">
        <f>1.99999940421981*(1)</f>
        <v>1.9999994042198099</v>
      </c>
    </row>
    <row r="19" spans="1:9" x14ac:dyDescent="0.3">
      <c r="A19">
        <v>19</v>
      </c>
      <c r="B19" s="1">
        <f>1.99999618528455*(1)</f>
        <v>1.99999618528455</v>
      </c>
      <c r="C19" s="1">
        <f>1.99999618538455*(1)</f>
        <v>1.99999618538455</v>
      </c>
      <c r="D19" s="1">
        <f>1.45520539472832E-11*(1)</f>
        <v>1.4552053947283199E-11</v>
      </c>
      <c r="E19" s="1">
        <f>1.45512910141305E-11*(1)</f>
        <v>1.45512910141305E-11</v>
      </c>
      <c r="F19" s="1">
        <f>1.99995422361463*(1)</f>
        <v>1.9999542236146299</v>
      </c>
      <c r="G19" s="1">
        <f>2.00003814705447*(1)</f>
        <v>2.0000381470544699</v>
      </c>
      <c r="H19" s="1">
        <f>0.0000839234398433141*(1)</f>
        <v>8.3923439843314104E-5</v>
      </c>
      <c r="I19" s="2">
        <f>1.99999880843768*(1)</f>
        <v>1.9999988084376801</v>
      </c>
    </row>
    <row r="20" spans="1:9" x14ac:dyDescent="0.3">
      <c r="A20">
        <v>20</v>
      </c>
      <c r="B20" s="1">
        <f>2.00001716611951*(1)</f>
        <v>2.0000171661195099</v>
      </c>
      <c r="C20" s="1">
        <f>2.00001716621951*(1)</f>
        <v>2.0000171662195099</v>
      </c>
      <c r="D20" s="1">
        <f>2.946756591335E-10*(1)</f>
        <v>2.9467565913349999E-10</v>
      </c>
      <c r="E20" s="1">
        <f>2.94679092367686E-10*(1)</f>
        <v>2.94679092367686E-10</v>
      </c>
      <c r="F20" s="1">
        <f>1.99999618528455*(1)</f>
        <v>1.99999618528455</v>
      </c>
      <c r="G20" s="1">
        <f>2.00003814705447*(1)</f>
        <v>2.0000381470544699</v>
      </c>
      <c r="H20" s="1">
        <f>0.0000419617699216612*(1)</f>
        <v>4.1961769921661202E-5</v>
      </c>
      <c r="I20" s="2">
        <f>1.9999976168782*(1)</f>
        <v>1.9999976168782001</v>
      </c>
    </row>
    <row r="21" spans="1:9" x14ac:dyDescent="0.3">
      <c r="A21">
        <v>21</v>
      </c>
      <c r="B21" s="1">
        <f>2.00000667570203*(1)</f>
        <v>2.0000066757020298</v>
      </c>
      <c r="C21" s="1">
        <f>2.00000667580203*(1)</f>
        <v>2.0000066758020298</v>
      </c>
      <c r="D21" s="1">
        <f>4.45649976267143E-11*(1)</f>
        <v>4.4564997626714297E-11</v>
      </c>
      <c r="E21" s="1">
        <f>4.45663327772313E-11*(1)</f>
        <v>4.4566332777231302E-11</v>
      </c>
      <c r="F21" s="1">
        <f>1.99999618528455*(1)</f>
        <v>1.99999618528455</v>
      </c>
      <c r="G21" s="1">
        <f>2.00001716621951*(1)</f>
        <v>2.0000171662195099</v>
      </c>
      <c r="H21" s="1">
        <f>0.0000209809349607237*(1)</f>
        <v>2.0980934960723699E-5</v>
      </c>
      <c r="I21" s="2">
        <f>1.99999523377836*(1)</f>
        <v>1.99999523377836</v>
      </c>
    </row>
    <row r="22" spans="1:9" x14ac:dyDescent="0.3">
      <c r="A22">
        <v>22</v>
      </c>
      <c r="B22" s="1">
        <f>2.00000143049329*(1)</f>
        <v>2.00000143049329</v>
      </c>
      <c r="C22" s="1">
        <f>2.00000143059329*(1)</f>
        <v>2.0000014305932901</v>
      </c>
      <c r="D22" s="1">
        <f>2.04631105921474E-12*(1)</f>
        <v>2.0463110592147401E-12</v>
      </c>
      <c r="E22" s="1">
        <f>2.04659716789687E-12*(1)</f>
        <v>2.0465971678968702E-12</v>
      </c>
      <c r="F22" s="1">
        <f>1.99999618528455*(1)</f>
        <v>1.99999618528455</v>
      </c>
      <c r="G22" s="1">
        <f>2.00000667580203*(1)</f>
        <v>2.0000066758020298</v>
      </c>
      <c r="H22" s="1">
        <f>0.0000104905174802549*(1)</f>
        <v>1.04905174802549E-5</v>
      </c>
      <c r="I22" s="2">
        <f>1.99999046760215*(1)</f>
        <v>1.99999046760215</v>
      </c>
    </row>
    <row r="23" spans="1:9" x14ac:dyDescent="0.3">
      <c r="A23">
        <v>23</v>
      </c>
      <c r="B23" s="1">
        <f>1.99999880788892*(1)</f>
        <v>1.9999988078889199</v>
      </c>
      <c r="C23" s="1">
        <f>1.99999880798892*(1)</f>
        <v>1.9999988079889199</v>
      </c>
      <c r="D23" s="1">
        <f>1.42112882193824E-12*(1)</f>
        <v>1.42112882193824E-12</v>
      </c>
      <c r="E23" s="1">
        <f>1.42089040970295E-12*(1)</f>
        <v>1.42089040970295E-12</v>
      </c>
      <c r="F23" s="1">
        <f>1.99999618528455*(1)</f>
        <v>1.99999618528455</v>
      </c>
      <c r="G23" s="1">
        <f>2.00000143059329*(1)</f>
        <v>2.0000014305932901</v>
      </c>
      <c r="H23" s="1">
        <f>0.0000052453087400206*(1)</f>
        <v>5.2453087400206002E-6</v>
      </c>
      <c r="I23" s="2">
        <f>1.99998093538604*(1)</f>
        <v>1.99998093538604</v>
      </c>
    </row>
    <row r="24" spans="1:9" x14ac:dyDescent="0.3">
      <c r="A24">
        <v>24</v>
      </c>
      <c r="B24" s="1">
        <f>2.0000001191911*(1)</f>
        <v>2.0000001191911001</v>
      </c>
      <c r="C24" s="1">
        <f>2.0000001192911*(1)</f>
        <v>2.0000001192911001</v>
      </c>
      <c r="D24" s="1">
        <f>1.42065200370547E-14*(1)</f>
        <v>1.42065200370547E-14</v>
      </c>
      <c r="E24" s="1">
        <f>1.423036826047E-14*(1)</f>
        <v>1.423036826047E-14</v>
      </c>
      <c r="F24" s="1">
        <f>1.99999880788892*(1)</f>
        <v>1.9999988078889199</v>
      </c>
      <c r="G24" s="1">
        <f>2.00000143059329*(1)</f>
        <v>2.0000014305932901</v>
      </c>
      <c r="H24" s="1">
        <f>2.62270437012546E-06*(1)</f>
        <v>2.6227043701254598E-6</v>
      </c>
      <c r="I24" s="2">
        <f>1.99996187132966*(1)</f>
        <v>1.9999618713296601</v>
      </c>
    </row>
    <row r="25" spans="1:9" x14ac:dyDescent="0.3">
      <c r="A25">
        <v>25</v>
      </c>
      <c r="B25" s="1">
        <f>1.99999946354001*(1)</f>
        <v>1.99999946354001</v>
      </c>
      <c r="C25" s="1">
        <f>1.99999946364001*(1)</f>
        <v>1.99999946364001</v>
      </c>
      <c r="D25" s="1">
        <f>2.8778931585279E-13*(1)</f>
        <v>2.8778931585279E-13</v>
      </c>
      <c r="E25" s="1">
        <f>2.8768203384685E-13*(1)</f>
        <v>2.8768203384684998E-13</v>
      </c>
      <c r="F25" s="1">
        <f>1.99999880788892*(1)</f>
        <v>1.9999988078889199</v>
      </c>
      <c r="G25" s="1">
        <f>2.0000001192911*(1)</f>
        <v>2.0000001192911001</v>
      </c>
      <c r="H25" s="1">
        <f>1.31140218506686E-06*(1)</f>
        <v>1.31140218506686E-6</v>
      </c>
      <c r="I25" s="2">
        <f>1.99992374573611*(1)</f>
        <v>1.9999237457361101</v>
      </c>
    </row>
    <row r="26" spans="1:9" x14ac:dyDescent="0.3">
      <c r="A26">
        <v>26</v>
      </c>
      <c r="B26" s="1">
        <f>1.99999979136556*(1)</f>
        <v>1.9999997913655601</v>
      </c>
      <c r="C26" s="1">
        <f>1.99999979146556*(1)</f>
        <v>1.9999997914655601</v>
      </c>
      <c r="D26" s="1">
        <f>4.35283291612074E-14*(1)</f>
        <v>4.3528329161207402E-14</v>
      </c>
      <c r="E26" s="1">
        <f>4.34866122699448E-14*(1)</f>
        <v>4.3486612269944797E-14</v>
      </c>
      <c r="F26" s="1">
        <f>1.99999946354001*(1)</f>
        <v>1.99999946354001</v>
      </c>
      <c r="G26" s="1">
        <f>2.0000001192911*(1)</f>
        <v>2.0000001192911001</v>
      </c>
      <c r="H26" s="1">
        <f>6.5575109253757E-07*(1)</f>
        <v>6.5575109253756996E-7</v>
      </c>
      <c r="I26" s="2">
        <f>1.99984750310077*(1)</f>
        <v>1.9998475031007701</v>
      </c>
    </row>
    <row r="27" spans="1:9" x14ac:dyDescent="0.3">
      <c r="A27">
        <v>27</v>
      </c>
      <c r="B27" s="1">
        <f>1.99999995527833*(1)</f>
        <v>1.9999999552783301</v>
      </c>
      <c r="C27" s="1">
        <f>1.99999995537833*(1)</f>
        <v>1.9999999553783301</v>
      </c>
      <c r="D27" s="1">
        <f>2.00002740320228E-15*(1)</f>
        <v>2.0000274032022798E-15</v>
      </c>
      <c r="E27" s="1">
        <f>1.99109306927866E-15*(1)</f>
        <v>1.9910930692786601E-15</v>
      </c>
      <c r="F27" s="1">
        <f>1.99999979136556*(1)</f>
        <v>1.9999997913655601</v>
      </c>
      <c r="G27" s="1">
        <f>2.0000001192911*(1)</f>
        <v>2.0000001192911001</v>
      </c>
      <c r="H27" s="1">
        <f>3.27925546272922E-07*(1)</f>
        <v>3.27925546272922E-7</v>
      </c>
      <c r="I27" s="2">
        <f>1.99969505270507*(1)</f>
        <v>1.9996950527050701</v>
      </c>
    </row>
    <row r="28" spans="1:9" x14ac:dyDescent="0.3">
      <c r="A28">
        <v>28</v>
      </c>
      <c r="B28" s="1">
        <f>2.00000003723472*(1)</f>
        <v>2.0000000372347202</v>
      </c>
      <c r="C28" s="1">
        <f>2.00000003733472*(1)</f>
        <v>2.0000000373347202</v>
      </c>
      <c r="D28" s="1">
        <f>1.3864244211463E-15*(1)</f>
        <v>1.3864244211463E-15</v>
      </c>
      <c r="E28" s="1">
        <f>1.39388136589214E-15*(1)</f>
        <v>1.39388136589214E-15</v>
      </c>
      <c r="F28" s="1">
        <f>1.99999995527833*(1)</f>
        <v>1.9999999552783301</v>
      </c>
      <c r="G28" s="1">
        <f>2.0000001192911*(1)</f>
        <v>2.0000001192911001</v>
      </c>
      <c r="H28" s="1">
        <f>1.64012773140598E-07*(1)</f>
        <v>1.6401277314059799E-7</v>
      </c>
      <c r="I28" s="2">
        <f>1.99939029133914*(1)</f>
        <v>1.9993902913391399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(x-2)^2_1.0e-07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Хабарова</dc:creator>
  <cp:lastModifiedBy>Анастасия Хабарова</cp:lastModifiedBy>
  <dcterms:created xsi:type="dcterms:W3CDTF">2023-04-30T15:58:54Z</dcterms:created>
  <dcterms:modified xsi:type="dcterms:W3CDTF">2023-04-30T16:13:28Z</dcterms:modified>
</cp:coreProperties>
</file>